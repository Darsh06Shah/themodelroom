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BO" sheetId="1" state="visible" r:id="rId1"/>
    <sheet xmlns:r="http://schemas.openxmlformats.org/officeDocument/2006/relationships" name="DCF" sheetId="2" state="visible" r:id="rId2"/>
    <sheet xmlns:r="http://schemas.openxmlformats.org/officeDocument/2006/relationships" name="Cap 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x&quot;"/>
    <numFmt numFmtId="165" formatCode="0.0%"/>
    <numFmt numFmtId="166" formatCode="0.00&quot;x&quot;"/>
    <numFmt numFmtId="167" formatCode="#,##0.0"/>
  </numFmts>
  <fonts count="7">
    <font>
      <name val="Calibri"/>
      <family val="2"/>
      <color theme="1"/>
      <sz val="11"/>
      <scheme val="minor"/>
    </font>
    <font>
      <b val="1"/>
      <color rgb="001F2A44"/>
      <sz val="13"/>
    </font>
    <font>
      <b val="1"/>
      <color rgb="00FFFFFF"/>
      <sz val="11"/>
    </font>
    <font>
      <color rgb="00333333"/>
      <sz val="10"/>
    </font>
    <font>
      <b val="1"/>
      <color rgb="007A5B00"/>
    </font>
    <font>
      <b val="1"/>
      <color rgb="001F2A44"/>
    </font>
    <font>
      <b val="1"/>
      <color rgb="001B7F4B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6E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indent="1"/>
    </xf>
    <xf numFmtId="3" fontId="4" fillId="3" borderId="1" applyAlignment="1" pivotButton="0" quotePrefix="0" xfId="0">
      <alignment horizontal="center"/>
    </xf>
    <xf numFmtId="0" fontId="5" fillId="0" borderId="0" pivotButton="0" quotePrefix="0" xfId="0"/>
    <xf numFmtId="3" fontId="0" fillId="0" borderId="1" applyAlignment="1" pivotButton="0" quotePrefix="0" xfId="0">
      <alignment horizontal="center"/>
    </xf>
    <xf numFmtId="0" fontId="6" fillId="4" borderId="0" pivotButton="0" quotePrefix="0" xfId="0"/>
    <xf numFmtId="0" fontId="3" fillId="0" borderId="1" applyAlignment="1" pivotButton="0" quotePrefix="0" xfId="0">
      <alignment indent="1"/>
    </xf>
    <xf numFmtId="0" fontId="5" fillId="0" borderId="1" pivotButton="0" quotePrefix="0" xfId="0"/>
    <xf numFmtId="0" fontId="0" fillId="0" borderId="1" pivotButton="0" quotePrefix="0" xfId="0"/>
    <xf numFmtId="165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5AAC"/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LBO MODEL — buyout + cash sweep + returns</t>
        </is>
      </c>
    </row>
    <row r="3">
      <c r="A3" s="2" t="inlineStr"/>
      <c r="B3" s="2" t="inlineStr">
        <is>
          <t>Year 1</t>
        </is>
      </c>
      <c r="C3" s="2" t="inlineStr">
        <is>
          <t>Year 2</t>
        </is>
      </c>
      <c r="D3" s="2" t="inlineStr">
        <is>
          <t>Year 3</t>
        </is>
      </c>
      <c r="E3" s="2" t="inlineStr">
        <is>
          <t>Year 4</t>
        </is>
      </c>
      <c r="F3" s="2" t="inlineStr">
        <is>
          <t>Year 5</t>
        </is>
      </c>
    </row>
    <row r="4">
      <c r="A4" s="3" t="inlineStr">
        <is>
          <t>Entry LTM EBITDA</t>
        </is>
      </c>
      <c r="B4" s="4" t="n">
        <v>100</v>
      </c>
    </row>
    <row r="5">
      <c r="A5" s="3" t="inlineStr">
        <is>
          <t>Entry EV / EBITDA (x)</t>
        </is>
      </c>
      <c r="B5" s="4" t="n">
        <v>8</v>
      </c>
    </row>
    <row r="6">
      <c r="A6" s="3" t="inlineStr">
        <is>
          <t>Net debt at entry</t>
        </is>
      </c>
      <c r="B6" s="4" t="n">
        <v>400</v>
      </c>
    </row>
    <row r="7">
      <c r="A7" s="3" t="inlineStr">
        <is>
          <t>Entry leverage (x EBITDA)</t>
        </is>
      </c>
      <c r="B7" s="4" t="n">
        <v>4</v>
      </c>
    </row>
    <row r="8">
      <c r="A8" s="3" t="inlineStr">
        <is>
          <t>Equity contribution</t>
        </is>
      </c>
      <c r="B8" s="4">
        <f>-(B5*B4-B6)</f>
        <v/>
      </c>
    </row>
    <row r="9">
      <c r="A9" s="3" t="inlineStr">
        <is>
          <t>Transaction fees (%)</t>
        </is>
      </c>
      <c r="B9" s="4" t="n">
        <v>0.02</v>
      </c>
    </row>
    <row r="11">
      <c r="A11" s="3" t="inlineStr">
        <is>
          <t>Revenue growth %</t>
        </is>
      </c>
      <c r="B11" s="4" t="n">
        <v>0.15</v>
      </c>
      <c r="C11" s="4" t="n">
        <v>0.13</v>
      </c>
      <c r="D11" s="4" t="n">
        <v>0.11</v>
      </c>
      <c r="E11" s="4" t="n">
        <v>0.09</v>
      </c>
      <c r="F11" s="4" t="n">
        <v>0.07000000000000001</v>
      </c>
    </row>
    <row r="12">
      <c r="A12" s="3" t="inlineStr">
        <is>
          <t>EBITDA margin %</t>
        </is>
      </c>
      <c r="B12" s="4" t="n">
        <v>0.25</v>
      </c>
      <c r="C12" s="4" t="n">
        <v>0.26</v>
      </c>
      <c r="D12" s="4" t="n">
        <v>0.27</v>
      </c>
      <c r="E12" s="4" t="n">
        <v>0.28</v>
      </c>
      <c r="F12" s="4" t="n">
        <v>0.29</v>
      </c>
    </row>
    <row r="13">
      <c r="A13" s="3" t="inlineStr">
        <is>
          <t>Cash interest rate</t>
        </is>
      </c>
      <c r="B13" s="4" t="n">
        <v>0.09</v>
      </c>
      <c r="C13" s="4" t="n">
        <v>0.09</v>
      </c>
      <c r="D13" s="4" t="n">
        <v>0.09</v>
      </c>
      <c r="E13" s="4" t="n">
        <v>0.09</v>
      </c>
      <c r="F13" s="4" t="n">
        <v>0.09</v>
      </c>
    </row>
    <row r="14">
      <c r="A14" s="3" t="inlineStr">
        <is>
          <t>Cash tax rate</t>
        </is>
      </c>
      <c r="B14" s="4" t="n">
        <v>0.25</v>
      </c>
      <c r="C14" s="4" t="n">
        <v>0.25</v>
      </c>
      <c r="D14" s="4" t="n">
        <v>0.25</v>
      </c>
      <c r="E14" s="4" t="n">
        <v>0.25</v>
      </c>
      <c r="F14" s="4" t="n">
        <v>0.25</v>
      </c>
    </row>
    <row r="15">
      <c r="A15" s="3" t="inlineStr">
        <is>
          <t>Capex % revenue</t>
        </is>
      </c>
      <c r="B15" s="4" t="n">
        <v>0.05</v>
      </c>
      <c r="C15" s="4" t="n">
        <v>0.05</v>
      </c>
      <c r="D15" s="4" t="n">
        <v>0.05</v>
      </c>
      <c r="E15" s="4" t="n">
        <v>0.05</v>
      </c>
      <c r="F15" s="4" t="n">
        <v>0.05</v>
      </c>
    </row>
    <row r="16">
      <c r="A16" s="3" t="inlineStr">
        <is>
          <t>Δ NWC % revenue</t>
        </is>
      </c>
      <c r="B16" s="4" t="n">
        <v>0.04</v>
      </c>
      <c r="C16" s="4" t="n">
        <v>0.04</v>
      </c>
      <c r="D16" s="4" t="n">
        <v>0.04</v>
      </c>
      <c r="E16" s="4" t="n">
        <v>0.04</v>
      </c>
      <c r="F16" s="4" t="n">
        <v>0.04</v>
      </c>
    </row>
    <row r="17">
      <c r="A17" s="3" t="inlineStr">
        <is>
          <t>Exit EV / EBITDA (x)</t>
        </is>
      </c>
      <c r="B17" s="4" t="n">
        <v>9</v>
      </c>
    </row>
    <row r="18">
      <c r="A18" s="3" t="inlineStr">
        <is>
          <t>Exit year</t>
        </is>
      </c>
      <c r="B18" s="4" t="n">
        <v>5</v>
      </c>
    </row>
    <row r="20">
      <c r="A20" s="5" t="inlineStr">
        <is>
          <t>PROJECTION</t>
        </is>
      </c>
    </row>
    <row r="21">
      <c r="A21" s="5" t="inlineStr">
        <is>
          <t>Revenue</t>
        </is>
      </c>
      <c r="B21" s="6">
        <f>B4*B11</f>
        <v/>
      </c>
      <c r="C21" s="6">
        <f>B21*(1+C11)</f>
        <v/>
      </c>
      <c r="D21" s="6">
        <f>C21*(1+D11)</f>
        <v/>
      </c>
      <c r="E21" s="6">
        <f>D21*(1+E11)</f>
        <v/>
      </c>
      <c r="F21" s="6">
        <f>E21*(1+F11)</f>
        <v/>
      </c>
    </row>
    <row r="22">
      <c r="A22" s="5" t="inlineStr">
        <is>
          <t>EBITDA</t>
        </is>
      </c>
      <c r="B22" s="6">
        <f>B21*B12</f>
        <v/>
      </c>
      <c r="C22" s="6">
        <f>C21*C12</f>
        <v/>
      </c>
      <c r="D22" s="6">
        <f>D21*D12</f>
        <v/>
      </c>
      <c r="E22" s="6">
        <f>E21*E12</f>
        <v/>
      </c>
      <c r="F22" s="6">
        <f>F21*F12</f>
        <v/>
      </c>
    </row>
    <row r="23">
      <c r="A23" t="inlineStr">
        <is>
          <t>Beginning debt</t>
        </is>
      </c>
      <c r="B23" s="6">
        <f>B7*B4</f>
        <v/>
      </c>
      <c r="C23" s="6">
        <f>B26</f>
        <v/>
      </c>
      <c r="D23" s="6">
        <f>C26</f>
        <v/>
      </c>
      <c r="E23" s="6">
        <f>D26</f>
        <v/>
      </c>
      <c r="F23" s="6">
        <f>E26</f>
        <v/>
      </c>
    </row>
    <row r="24">
      <c r="A24" t="inlineStr">
        <is>
          <t>Interest expense</t>
        </is>
      </c>
      <c r="B24" s="6">
        <f>-B23*B13</f>
        <v/>
      </c>
      <c r="C24" s="6">
        <f>-C23*C13</f>
        <v/>
      </c>
      <c r="D24" s="6">
        <f>-D23*D13</f>
        <v/>
      </c>
      <c r="E24" s="6">
        <f>-E23*E13</f>
        <v/>
      </c>
      <c r="F24" s="6">
        <f>-F23*F13</f>
        <v/>
      </c>
    </row>
    <row r="25">
      <c r="A25" t="inlineStr">
        <is>
          <t>EBT</t>
        </is>
      </c>
      <c r="B25" s="6">
        <f>B22+B24</f>
        <v/>
      </c>
      <c r="C25" s="6">
        <f>C22+C24</f>
        <v/>
      </c>
      <c r="D25" s="6">
        <f>D22+D24</f>
        <v/>
      </c>
      <c r="E25" s="6">
        <f>E22+E24</f>
        <v/>
      </c>
      <c r="F25" s="6">
        <f>F22+F24</f>
        <v/>
      </c>
    </row>
    <row r="26">
      <c r="A26" t="inlineStr">
        <is>
          <t>Taxes</t>
        </is>
      </c>
      <c r="B26" s="6">
        <f>-MAX(B25,0)*B14</f>
        <v/>
      </c>
      <c r="C26" s="6">
        <f>-MAX(C25,0)*C14</f>
        <v/>
      </c>
      <c r="D26" s="6">
        <f>-MAX(D25,0)*D14</f>
        <v/>
      </c>
      <c r="E26" s="6">
        <f>-MAX(E25,0)*E14</f>
        <v/>
      </c>
      <c r="F26" s="6">
        <f>-MAX(F25,0)*F14</f>
        <v/>
      </c>
    </row>
    <row r="27">
      <c r="A27" t="inlineStr">
        <is>
          <t>Net income</t>
        </is>
      </c>
      <c r="B27" s="6">
        <f>B25+B26</f>
        <v/>
      </c>
      <c r="C27" s="6">
        <f>C25+C26</f>
        <v/>
      </c>
      <c r="D27" s="6">
        <f>D25+D26</f>
        <v/>
      </c>
      <c r="E27" s="6">
        <f>E25+E26</f>
        <v/>
      </c>
      <c r="F27" s="6">
        <f>F25+F26</f>
        <v/>
      </c>
    </row>
    <row r="28">
      <c r="A28" t="inlineStr">
        <is>
          <t>+ D&amp;A (proxy = 5% rev)</t>
        </is>
      </c>
      <c r="B28" s="6">
        <f>B21*0.05</f>
        <v/>
      </c>
      <c r="C28" s="6">
        <f>C21*0.05</f>
        <v/>
      </c>
      <c r="D28" s="6">
        <f>D21*0.05</f>
        <v/>
      </c>
      <c r="E28" s="6">
        <f>E21*0.05</f>
        <v/>
      </c>
      <c r="F28" s="6">
        <f>F21*0.05</f>
        <v/>
      </c>
    </row>
    <row r="29">
      <c r="A29" t="inlineStr">
        <is>
          <t>- Capex</t>
        </is>
      </c>
      <c r="B29" s="6">
        <f>-B21*B15</f>
        <v/>
      </c>
      <c r="C29" s="6">
        <f>-C21*C15</f>
        <v/>
      </c>
      <c r="D29" s="6">
        <f>-D21*D15</f>
        <v/>
      </c>
      <c r="E29" s="6">
        <f>-E21*E15</f>
        <v/>
      </c>
      <c r="F29" s="6">
        <f>-F21*F15</f>
        <v/>
      </c>
    </row>
    <row r="30">
      <c r="A30" t="inlineStr">
        <is>
          <t>- Δ NWC</t>
        </is>
      </c>
      <c r="B30" s="6">
        <f>-B21*B16</f>
        <v/>
      </c>
      <c r="C30" s="6">
        <f>-(C21-B21)*C16</f>
        <v/>
      </c>
      <c r="D30" s="6">
        <f>-(D21-C21)*D16</f>
        <v/>
      </c>
      <c r="E30" s="6">
        <f>-(E21-D21)*E16</f>
        <v/>
      </c>
      <c r="F30" s="6">
        <f>-(F21-E21)*F16</f>
        <v/>
      </c>
    </row>
    <row r="31">
      <c r="A31" t="inlineStr">
        <is>
          <t>Free cash flow (to debt)</t>
        </is>
      </c>
      <c r="B31" s="6">
        <f>B27+B28+B29+B30</f>
        <v/>
      </c>
      <c r="C31" s="6">
        <f>C27+C28+C29+C30</f>
        <v/>
      </c>
      <c r="D31" s="6">
        <f>D27+D28+D29+D30</f>
        <v/>
      </c>
      <c r="E31" s="6">
        <f>E27+E28+E29+E30</f>
        <v/>
      </c>
      <c r="F31" s="6">
        <f>F27+F28+F29+F30</f>
        <v/>
      </c>
    </row>
    <row r="32">
      <c r="A32" t="inlineStr">
        <is>
          <t>Debt repayment (cash sweep)</t>
        </is>
      </c>
      <c r="B32" s="6">
        <f>-MIN(B31,B23)</f>
        <v/>
      </c>
      <c r="C32" s="6">
        <f>-MIN(C31,C23)</f>
        <v/>
      </c>
      <c r="D32" s="6">
        <f>-MIN(D31,D23)</f>
        <v/>
      </c>
      <c r="E32" s="6">
        <f>-MIN(E31,E23)</f>
        <v/>
      </c>
      <c r="F32" s="6">
        <f>-MIN(F31,F23)</f>
        <v/>
      </c>
    </row>
    <row r="33">
      <c r="A33" t="inlineStr">
        <is>
          <t>Ending debt</t>
        </is>
      </c>
      <c r="B33" s="6">
        <f>B23+B32</f>
        <v/>
      </c>
      <c r="C33" s="6">
        <f>C23+C32</f>
        <v/>
      </c>
      <c r="D33" s="6">
        <f>D23+D32</f>
        <v/>
      </c>
      <c r="E33" s="6">
        <f>E23+E32</f>
        <v/>
      </c>
      <c r="F33" s="6">
        <f>F23+F32</f>
        <v/>
      </c>
    </row>
    <row r="35">
      <c r="A35" s="7" t="inlineStr">
        <is>
          <t>RETURNS</t>
        </is>
      </c>
    </row>
    <row r="36">
      <c r="A36" s="3" t="inlineStr">
        <is>
          <t>Exit EBITDA</t>
        </is>
      </c>
      <c r="B36" s="6">
        <f>F22</f>
        <v/>
      </c>
    </row>
    <row r="37">
      <c r="A37" s="3" t="inlineStr">
        <is>
          <t>Exit EV (exit x)</t>
        </is>
      </c>
      <c r="B37" s="6">
        <f>B36*B17</f>
        <v/>
      </c>
    </row>
    <row r="38">
      <c r="A38" s="3" t="inlineStr">
        <is>
          <t>(-) Net debt at exit</t>
        </is>
      </c>
      <c r="B38" s="6">
        <f>-B33</f>
        <v/>
      </c>
    </row>
    <row r="39">
      <c r="A39" s="3" t="inlineStr">
        <is>
          <t>Equity value at exit</t>
        </is>
      </c>
      <c r="B39" s="6">
        <f>B37+B38</f>
        <v/>
      </c>
    </row>
    <row r="40">
      <c r="A40" s="3" t="inlineStr">
        <is>
          <t>MOIC (x)</t>
        </is>
      </c>
      <c r="B40" s="6">
        <f>B39/B7</f>
        <v/>
      </c>
    </row>
    <row r="41">
      <c r="A41" s="3" t="inlineStr">
        <is>
          <t>IRR (x)</t>
        </is>
      </c>
      <c r="B41" s="6">
        <f>(B40)^(1/B18)-1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7F4B"/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DCF — unlevered FCF, WACC, terminal value</t>
        </is>
      </c>
    </row>
    <row r="3">
      <c r="A3" s="2" t="inlineStr"/>
      <c r="B3" s="2" t="inlineStr">
        <is>
          <t>Year 1</t>
        </is>
      </c>
      <c r="C3" s="2" t="inlineStr">
        <is>
          <t>Year 2</t>
        </is>
      </c>
      <c r="D3" s="2" t="inlineStr">
        <is>
          <t>Year 3</t>
        </is>
      </c>
      <c r="E3" s="2" t="inlineStr">
        <is>
          <t>Year 4</t>
        </is>
      </c>
      <c r="F3" s="2" t="inlineStr">
        <is>
          <t>Year 5</t>
        </is>
      </c>
    </row>
    <row r="4">
      <c r="A4" s="3" t="inlineStr">
        <is>
          <t>Revenue (base)</t>
        </is>
      </c>
      <c r="B4" s="4" t="n">
        <v>500</v>
      </c>
    </row>
    <row r="5">
      <c r="A5" s="3" t="inlineStr">
        <is>
          <t>Growth %</t>
        </is>
      </c>
      <c r="B5" s="4" t="n">
        <v>0.12</v>
      </c>
      <c r="C5" s="4" t="n">
        <v>0.1</v>
      </c>
      <c r="D5" s="4" t="n">
        <v>0.08</v>
      </c>
      <c r="E5" s="4" t="n">
        <v>0.06</v>
      </c>
      <c r="F5" s="4" t="n">
        <v>0.05</v>
      </c>
    </row>
    <row r="6">
      <c r="A6" s="3" t="inlineStr">
        <is>
          <t>EBITDA margin %</t>
        </is>
      </c>
      <c r="B6" s="4" t="n">
        <v>0.3</v>
      </c>
      <c r="C6" s="4" t="n">
        <v>0.31</v>
      </c>
      <c r="D6" s="4" t="n">
        <v>0.32</v>
      </c>
      <c r="E6" s="4" t="n">
        <v>0.33</v>
      </c>
      <c r="F6" s="4" t="n">
        <v>0.34</v>
      </c>
    </row>
    <row r="7">
      <c r="A7" s="3" t="inlineStr">
        <is>
          <t>Tax rate</t>
        </is>
      </c>
      <c r="B7" s="4" t="n">
        <v>0.25</v>
      </c>
      <c r="C7" s="4" t="n">
        <v>0.25</v>
      </c>
      <c r="D7" s="4" t="n">
        <v>0.25</v>
      </c>
      <c r="E7" s="4" t="n">
        <v>0.25</v>
      </c>
      <c r="F7" s="4" t="n">
        <v>0.25</v>
      </c>
    </row>
    <row r="8">
      <c r="A8" s="3" t="inlineStr">
        <is>
          <t>Capex % rev</t>
        </is>
      </c>
      <c r="B8" s="4" t="n">
        <v>0.06</v>
      </c>
      <c r="C8" s="4" t="n">
        <v>0.06</v>
      </c>
      <c r="D8" s="4" t="n">
        <v>0.06</v>
      </c>
      <c r="E8" s="4" t="n">
        <v>0.06</v>
      </c>
      <c r="F8" s="4" t="n">
        <v>0.06</v>
      </c>
    </row>
    <row r="9">
      <c r="A9" s="3" t="inlineStr">
        <is>
          <t>ΔNWC % rev</t>
        </is>
      </c>
      <c r="B9" s="4" t="n">
        <v>0.03</v>
      </c>
      <c r="C9" s="4" t="n">
        <v>0.03</v>
      </c>
      <c r="D9" s="4" t="n">
        <v>0.03</v>
      </c>
      <c r="E9" s="4" t="n">
        <v>0.03</v>
      </c>
      <c r="F9" s="4" t="n">
        <v>0.03</v>
      </c>
    </row>
    <row r="10">
      <c r="A10" s="3" t="inlineStr">
        <is>
          <t>WACC %</t>
        </is>
      </c>
      <c r="B10" s="4" t="n">
        <v>0.1</v>
      </c>
    </row>
    <row r="11">
      <c r="A11" s="3" t="inlineStr">
        <is>
          <t>Terminal growth %</t>
        </is>
      </c>
      <c r="B11" s="4" t="n">
        <v>0.025</v>
      </c>
    </row>
    <row r="13">
      <c r="A13" s="5" t="inlineStr">
        <is>
          <t>PROJECTION</t>
        </is>
      </c>
    </row>
    <row r="14">
      <c r="A14" s="8" t="inlineStr">
        <is>
          <t>Revenue</t>
        </is>
      </c>
      <c r="B14" s="6">
        <f>B4*(1+B5)</f>
        <v/>
      </c>
      <c r="C14" s="6">
        <f>B14*(1+C5)</f>
        <v/>
      </c>
      <c r="D14" s="6">
        <f>C14*(1+D5)</f>
        <v/>
      </c>
      <c r="E14" s="6">
        <f>D14*(1+E5)</f>
        <v/>
      </c>
      <c r="F14" s="6">
        <f>E14*(1+F5)</f>
        <v/>
      </c>
    </row>
    <row r="15">
      <c r="A15" s="8" t="inlineStr">
        <is>
          <t>EBITDA</t>
        </is>
      </c>
      <c r="B15" s="6">
        <f>B14*B6</f>
        <v/>
      </c>
      <c r="C15" s="6">
        <f>C14*C6</f>
        <v/>
      </c>
      <c r="D15" s="6">
        <f>D14*D6</f>
        <v/>
      </c>
      <c r="E15" s="6">
        <f>E14*E6</f>
        <v/>
      </c>
      <c r="F15" s="6">
        <f>F14*F6</f>
        <v/>
      </c>
    </row>
    <row r="16">
      <c r="A16" s="8" t="inlineStr">
        <is>
          <t>(-) Taxes on EBITDA</t>
        </is>
      </c>
      <c r="B16" s="6">
        <f>-B15*B7</f>
        <v/>
      </c>
      <c r="C16" s="6">
        <f>-C15*C7</f>
        <v/>
      </c>
      <c r="D16" s="6">
        <f>-D15*D7</f>
        <v/>
      </c>
      <c r="E16" s="6">
        <f>-E15*E7</f>
        <v/>
      </c>
      <c r="F16" s="6">
        <f>-F15*F7</f>
        <v/>
      </c>
    </row>
    <row r="17">
      <c r="A17" s="8" t="inlineStr">
        <is>
          <t>(-) Capex</t>
        </is>
      </c>
      <c r="B17" s="6">
        <f>-B14*B8</f>
        <v/>
      </c>
      <c r="C17" s="6">
        <f>-C14*C8</f>
        <v/>
      </c>
      <c r="D17" s="6">
        <f>-D14*D8</f>
        <v/>
      </c>
      <c r="E17" s="6">
        <f>-E14*E8</f>
        <v/>
      </c>
      <c r="F17" s="6">
        <f>-F14*F8</f>
        <v/>
      </c>
    </row>
    <row r="18">
      <c r="A18" s="8" t="inlineStr">
        <is>
          <t>(-) Δ NWC</t>
        </is>
      </c>
      <c r="B18" s="6">
        <f>-B14*B9</f>
        <v/>
      </c>
      <c r="C18" s="6">
        <f>-(C14-B14)*C9</f>
        <v/>
      </c>
      <c r="D18" s="6">
        <f>-(D14-C14)*D9</f>
        <v/>
      </c>
      <c r="E18" s="6">
        <f>-(E14-D14)*E9</f>
        <v/>
      </c>
      <c r="F18" s="6">
        <f>-(F14-E14)*F9</f>
        <v/>
      </c>
    </row>
    <row r="19">
      <c r="A19" s="8" t="inlineStr">
        <is>
          <t>Unlevered FCF</t>
        </is>
      </c>
      <c r="B19" s="6">
        <f>B15+B16+B17+B18</f>
        <v/>
      </c>
      <c r="C19" s="6">
        <f>C15+C16+C17+C18</f>
        <v/>
      </c>
      <c r="D19" s="6">
        <f>D15+D16+D17+D18</f>
        <v/>
      </c>
      <c r="E19" s="6">
        <f>E15+E16+E17+E18</f>
        <v/>
      </c>
      <c r="F19" s="6">
        <f>F15+F16+F17+F18</f>
        <v/>
      </c>
    </row>
    <row r="20">
      <c r="A20" s="8" t="inlineStr">
        <is>
          <t>Discount factor</t>
        </is>
      </c>
      <c r="B20" s="6">
        <f>1/(1+$B10)^1</f>
        <v/>
      </c>
      <c r="C20" s="6">
        <f>1/(1+$B10)^2</f>
        <v/>
      </c>
      <c r="D20" s="6">
        <f>1/(1+$B10)^3</f>
        <v/>
      </c>
      <c r="E20" s="6">
        <f>1/(1+$B10)^4</f>
        <v/>
      </c>
      <c r="F20" s="6">
        <f>1/(1+$B10)^5</f>
        <v/>
      </c>
    </row>
    <row r="21">
      <c r="A21" s="8" t="inlineStr">
        <is>
          <t>PV of FCF</t>
        </is>
      </c>
      <c r="B21" s="6">
        <f>B19*B20</f>
        <v/>
      </c>
      <c r="C21" s="6">
        <f>C19*C20</f>
        <v/>
      </c>
      <c r="D21" s="6">
        <f>D19*D20</f>
        <v/>
      </c>
      <c r="E21" s="6">
        <f>E19*E20</f>
        <v/>
      </c>
      <c r="F21" s="6">
        <f>F19*F20</f>
        <v/>
      </c>
    </row>
    <row r="23">
      <c r="A23" s="9" t="inlineStr">
        <is>
          <t>Terminal value (Gordon)</t>
        </is>
      </c>
      <c r="B23" s="6">
        <f>F19*(1+B11)/(B10-B11)</f>
        <v/>
      </c>
    </row>
    <row r="24">
      <c r="A24" s="10" t="inlineStr">
        <is>
          <t>PV of terminal value</t>
        </is>
      </c>
      <c r="B24" s="6">
        <f>B23/(1+B10)^5</f>
        <v/>
      </c>
    </row>
    <row r="25">
      <c r="A25" s="10" t="inlineStr">
        <is>
          <t>Enterprise value</t>
        </is>
      </c>
      <c r="B25" s="6">
        <f>SUM(B21:B25)+B24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8860B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CAP TABLE — seed → Series A/B, option pool, dilution</t>
        </is>
      </c>
    </row>
    <row r="3">
      <c r="A3" s="2" t="inlineStr">
        <is>
          <t>Round</t>
        </is>
      </c>
      <c r="B3" s="2" t="inlineStr">
        <is>
          <t>Investment</t>
        </is>
      </c>
      <c r="C3" s="2" t="inlineStr">
        <is>
          <t>Pre-money</t>
        </is>
      </c>
      <c r="D3" s="2" t="inlineStr">
        <is>
          <t>Post-money</t>
        </is>
      </c>
      <c r="E3" s="2" t="inlineStr">
        <is>
          <t>Price/sh</t>
        </is>
      </c>
      <c r="F3" s="2" t="inlineStr">
        <is>
          <t>New sh</t>
        </is>
      </c>
      <c r="G3" s="2" t="inlineStr">
        <is>
          <t>Investor %</t>
        </is>
      </c>
    </row>
    <row r="4">
      <c r="A4" s="3" t="inlineStr">
        <is>
          <t>Founders</t>
        </is>
      </c>
      <c r="B4" s="4" t="n">
        <v>0</v>
      </c>
      <c r="C4" s="4" t="n">
        <v>0</v>
      </c>
      <c r="D4" s="4" t="n">
        <v>1000000</v>
      </c>
      <c r="E4" s="4" t="n">
        <v>0</v>
      </c>
      <c r="F4" s="4" t="n">
        <v>0</v>
      </c>
      <c r="G4" s="11">
        <f>F4/$F$10</f>
        <v/>
      </c>
    </row>
    <row r="5">
      <c r="A5" s="3" t="inlineStr">
        <is>
          <t>Seed</t>
        </is>
      </c>
      <c r="B5" s="4" t="n">
        <v>500000</v>
      </c>
      <c r="C5" s="4" t="n">
        <v>3000000</v>
      </c>
      <c r="D5" s="4" t="n">
        <v>3500000</v>
      </c>
      <c r="E5" s="4" t="n">
        <v>3</v>
      </c>
      <c r="F5" s="4" t="n">
        <v>166667</v>
      </c>
      <c r="G5" s="11">
        <f>B5/D5</f>
        <v/>
      </c>
    </row>
    <row r="6">
      <c r="A6" s="3" t="inlineStr">
        <is>
          <t>Series A</t>
        </is>
      </c>
      <c r="B6" s="4" t="n">
        <v>2000000</v>
      </c>
      <c r="C6" s="4" t="n">
        <v>8000000</v>
      </c>
      <c r="D6" s="4" t="n">
        <v>10000000</v>
      </c>
      <c r="E6" s="4" t="n">
        <v>6</v>
      </c>
      <c r="F6" s="4" t="n">
        <v>333333</v>
      </c>
      <c r="G6" s="11">
        <f>B6/D6</f>
        <v/>
      </c>
    </row>
    <row r="7">
      <c r="A7" s="3" t="inlineStr">
        <is>
          <t>Series B</t>
        </is>
      </c>
      <c r="B7" s="4" t="n">
        <v>6000000</v>
      </c>
      <c r="C7" s="4" t="n">
        <v>24000000</v>
      </c>
      <c r="D7" s="4" t="n">
        <v>30000000</v>
      </c>
      <c r="E7" s="4" t="n">
        <v>12</v>
      </c>
      <c r="F7" s="4" t="n">
        <v>500000</v>
      </c>
      <c r="G7" s="11">
        <f>B7/D7</f>
        <v/>
      </c>
    </row>
    <row r="8">
      <c r="A8" s="3" t="inlineStr">
        <is>
          <t>Option pool</t>
        </is>
      </c>
      <c r="B8" s="4" t="n">
        <v>0</v>
      </c>
      <c r="C8" s="4" t="n">
        <v>0</v>
      </c>
      <c r="D8" s="4" t="n">
        <v>1500000</v>
      </c>
      <c r="E8" s="4" t="n">
        <v>0</v>
      </c>
      <c r="F8" s="4" t="n">
        <v>150000</v>
      </c>
      <c r="G8" s="11">
        <f>F8/$F$10</f>
        <v/>
      </c>
    </row>
    <row r="10">
      <c r="A10" s="5" t="inlineStr">
        <is>
          <t>TOTAL (fully diluted)</t>
        </is>
      </c>
      <c r="D10" s="6">
        <f>SUM(D4:D8)</f>
        <v/>
      </c>
      <c r="F10" s="6">
        <f>SUM(F4:F8)</f>
        <v/>
      </c>
      <c r="G10" s="11">
        <f>SUM(G4:G8)</f>
        <v/>
      </c>
    </row>
    <row r="11">
      <c r="A11" s="5" t="inlineStr">
        <is>
          <t>Ownership after all rounds (fully diluted):</t>
        </is>
      </c>
    </row>
    <row r="12">
      <c r="A12" s="5" t="inlineStr">
        <is>
          <t>Holder</t>
        </is>
      </c>
      <c r="B12" s="5" t="inlineStr">
        <is>
          <t>Shares</t>
        </is>
      </c>
      <c r="C12" s="5" t="inlineStr">
        <is>
          <t>% FD</t>
        </is>
      </c>
    </row>
    <row r="13">
      <c r="A13" s="3" t="inlineStr">
        <is>
          <t>Founders</t>
        </is>
      </c>
      <c r="B13" s="6" t="n">
        <v>1000000</v>
      </c>
      <c r="C13" s="11">
        <f>B13/$B$18</f>
        <v/>
      </c>
    </row>
    <row r="14">
      <c r="A14" s="3" t="inlineStr">
        <is>
          <t>Seed</t>
        </is>
      </c>
      <c r="B14" s="6" t="n">
        <v>166667</v>
      </c>
      <c r="C14" s="11">
        <f>B14/$B$19</f>
        <v/>
      </c>
    </row>
    <row r="15">
      <c r="A15" s="3" t="inlineStr">
        <is>
          <t>Series A</t>
        </is>
      </c>
      <c r="B15" s="6" t="n">
        <v>333333</v>
      </c>
      <c r="C15" s="11">
        <f>B15/$B$20</f>
        <v/>
      </c>
    </row>
    <row r="16">
      <c r="A16" s="3" t="inlineStr">
        <is>
          <t>Series B</t>
        </is>
      </c>
      <c r="B16" s="6" t="n">
        <v>500000</v>
      </c>
      <c r="C16" s="11">
        <f>B16/$B$21</f>
        <v/>
      </c>
    </row>
    <row r="17">
      <c r="A17" s="3" t="inlineStr">
        <is>
          <t>Option pool</t>
        </is>
      </c>
      <c r="B17" s="6" t="n">
        <v>150000</v>
      </c>
      <c r="C17" s="11">
        <f>B17/$B$22</f>
        <v/>
      </c>
    </row>
    <row r="18">
      <c r="A18" s="5" t="inlineStr">
        <is>
          <t>Total</t>
        </is>
      </c>
      <c r="B18" s="6">
        <f>SUM(B13:B17)</f>
        <v/>
      </c>
      <c r="C18" s="11">
        <f>SUM(C13:C17)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2026-07-20T05:49:01Z</dcterms:created>
  <dcterms:modified xmlns:dcterms="http://purl.org/dc/terms/" xmlns:xsi="http://www.w3.org/2001/XMLSchema-instance" xsi:type="dcterms:W3CDTF">2026-07-20T05:49:01Z</dcterms:modified>
</cp:coreProperties>
</file>