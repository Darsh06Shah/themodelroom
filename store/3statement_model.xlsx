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"/>
  </numFmts>
  <fonts count="10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color rgb="00555555"/>
      <sz val="10"/>
    </font>
    <font>
      <b val="1"/>
      <color rgb="001F2A44"/>
    </font>
    <font>
      <b val="1"/>
      <color rgb="007A5B00"/>
    </font>
    <font>
      <b val="1"/>
      <color rgb="001B7F4B"/>
    </font>
    <font>
      <i val="1"/>
      <color rgb="00555555"/>
      <sz val="9"/>
    </font>
    <font>
      <b val="1"/>
      <color rgb="001F2A44"/>
      <sz val="13"/>
    </font>
    <font>
      <b val="1"/>
      <color rgb="00FFFFFF"/>
      <sz val="11"/>
    </font>
    <font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FFF6E6"/>
      </patternFill>
    </fill>
    <fill>
      <patternFill patternType="solid">
        <fgColor rgb="001F2A44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3" fontId="5" fillId="0" borderId="1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indent="1"/>
    </xf>
    <xf numFmtId="164" fontId="4" fillId="2" borderId="1" applyAlignment="1" pivotButton="0" quotePrefix="0" xfId="0">
      <alignment horizontal="center"/>
    </xf>
    <xf numFmtId="1" fontId="4" fillId="2" borderId="1" applyAlignment="1" pivotButton="0" quotePrefix="0" xfId="0">
      <alignment horizontal="center"/>
    </xf>
    <xf numFmtId="3" fontId="4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3" fontId="3" fillId="0" borderId="0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indent="1"/>
    </xf>
    <xf numFmtId="165" fontId="5" fillId="0" borderId="1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THE MODEL ROOM — 3-Statement Model</t>
        </is>
      </c>
    </row>
    <row r="2">
      <c r="A2" s="2" t="inlineStr">
        <is>
          <t>Step 1: pick your role. The model re-scales to fit how YOU will use it.</t>
        </is>
      </c>
    </row>
    <row r="4">
      <c r="A4" s="3" t="inlineStr">
        <is>
          <t>Your role:</t>
        </is>
      </c>
      <c r="B4" s="4" t="inlineStr">
        <is>
          <t>Founder</t>
        </is>
      </c>
    </row>
    <row r="6">
      <c r="A6" s="3" t="inlineStr">
        <is>
          <t>Role default — starting revenue ($):</t>
        </is>
      </c>
    </row>
    <row r="7">
      <c r="A7" t="inlineStr">
        <is>
          <t>IB Analyst</t>
        </is>
      </c>
      <c r="B7" t="n">
        <v>4000</v>
      </c>
    </row>
    <row r="8">
      <c r="A8" t="inlineStr">
        <is>
          <t>PE Associate</t>
        </is>
      </c>
      <c r="B8" t="n">
        <v>8000</v>
      </c>
    </row>
    <row r="9">
      <c r="A9" t="inlineStr">
        <is>
          <t>VC Associate</t>
        </is>
      </c>
      <c r="B9" t="n">
        <v>6000</v>
      </c>
    </row>
    <row r="10">
      <c r="A10" t="inlineStr">
        <is>
          <t>Founder</t>
        </is>
      </c>
      <c r="B10" t="n">
        <v>1200</v>
      </c>
    </row>
    <row r="11">
      <c r="A11" t="inlineStr">
        <is>
          <t>Career Switcher</t>
        </is>
      </c>
      <c r="B11" t="n">
        <v>5000</v>
      </c>
    </row>
    <row r="13">
      <c r="A13" s="3" t="inlineStr">
        <is>
          <t>Selected starting revenue ($):</t>
        </is>
      </c>
      <c r="B13" s="5">
        <f>VLOOKUP(B4,A7:B11,2,FALSE)</f>
        <v/>
      </c>
    </row>
    <row r="15">
      <c r="A15" s="6" t="inlineStr">
        <is>
          <t>How to read this model: every formula is LIVE. Change an assumption on the Assumptions tab (amber cells) and the whole model recalculates. Cash is the residual; debt is the plug (borrow to hold minimum cash, repay the surplus).</t>
        </is>
      </c>
    </row>
    <row r="16"/>
    <row r="17"/>
  </sheetData>
  <mergeCells count="1">
    <mergeCell ref="A15:H17"/>
  </mergeCells>
  <dataValidations count="1">
    <dataValidation sqref="B4" showDropDown="0" showInputMessage="0" showErrorMessage="0" allowBlank="0" type="list">
      <formula1>"IB Analyst,PE Associate,VC Associate,Founder,Career Switcher"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AAC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ASSUMPTIONS  (amber = you can change)</t>
        </is>
      </c>
    </row>
    <row r="3">
      <c r="A3" s="8" t="inlineStr">
        <is>
          <t>Year 0</t>
        </is>
      </c>
      <c r="B3" s="8" t="inlineStr">
        <is>
          <t>Year 1</t>
        </is>
      </c>
      <c r="C3" s="8" t="inlineStr">
        <is>
          <t>Year 2</t>
        </is>
      </c>
      <c r="D3" s="8" t="inlineStr">
        <is>
          <t>Year 3</t>
        </is>
      </c>
      <c r="E3" s="8" t="inlineStr">
        <is>
          <t>Year 4</t>
        </is>
      </c>
      <c r="F3" s="8" t="inlineStr">
        <is>
          <t>Year 5</t>
        </is>
      </c>
    </row>
    <row r="4">
      <c r="A4" s="9" t="inlineStr">
        <is>
          <t>Revenue growth %</t>
        </is>
      </c>
      <c r="B4" t="inlineStr"/>
      <c r="C4" s="10" t="n">
        <v>0.2</v>
      </c>
      <c r="D4" s="10" t="n">
        <v>0.18</v>
      </c>
      <c r="E4" s="10" t="n">
        <v>0.15</v>
      </c>
      <c r="F4" s="10" t="n">
        <v>0.12</v>
      </c>
      <c r="G4" s="10" t="n">
        <v>0.1</v>
      </c>
    </row>
    <row r="5">
      <c r="A5" s="9" t="inlineStr">
        <is>
          <t>COGS % of revenue</t>
        </is>
      </c>
      <c r="B5" t="inlineStr"/>
      <c r="C5" s="10" t="n">
        <v>0.6</v>
      </c>
      <c r="D5" s="10" t="n">
        <v>0.6</v>
      </c>
      <c r="E5" s="10" t="n">
        <v>0.6</v>
      </c>
      <c r="F5" s="10" t="n">
        <v>0.6</v>
      </c>
      <c r="G5" s="10" t="n">
        <v>0.6</v>
      </c>
    </row>
    <row r="6">
      <c r="A6" s="9" t="inlineStr">
        <is>
          <t>Operating expense % rev</t>
        </is>
      </c>
      <c r="B6" t="inlineStr"/>
      <c r="C6" s="10" t="n">
        <v>0.15</v>
      </c>
      <c r="D6" s="10" t="n">
        <v>0.15</v>
      </c>
      <c r="E6" s="10" t="n">
        <v>0.14</v>
      </c>
      <c r="F6" s="10" t="n">
        <v>0.14</v>
      </c>
      <c r="G6" s="10" t="n">
        <v>0.13</v>
      </c>
    </row>
    <row r="7">
      <c r="A7" s="9" t="inlineStr">
        <is>
          <t>D&amp;A % of revenue</t>
        </is>
      </c>
      <c r="B7" t="inlineStr"/>
      <c r="C7" s="10" t="n">
        <v>0.04</v>
      </c>
      <c r="D7" s="10" t="n">
        <v>0.04</v>
      </c>
      <c r="E7" s="10" t="n">
        <v>0.04</v>
      </c>
      <c r="F7" s="10" t="n">
        <v>0.04</v>
      </c>
      <c r="G7" s="10" t="n">
        <v>0.04</v>
      </c>
    </row>
    <row r="8">
      <c r="A8" s="9" t="inlineStr">
        <is>
          <t>Capex % of revenue</t>
        </is>
      </c>
      <c r="B8" t="inlineStr"/>
      <c r="C8" s="10" t="n">
        <v>0.06</v>
      </c>
      <c r="D8" s="10" t="n">
        <v>0.06</v>
      </c>
      <c r="E8" s="10" t="n">
        <v>0.06</v>
      </c>
      <c r="F8" s="10" t="n">
        <v>0.06</v>
      </c>
      <c r="G8" s="10" t="n">
        <v>0.06</v>
      </c>
    </row>
    <row r="9">
      <c r="A9" s="9" t="inlineStr">
        <is>
          <t>Tax rate</t>
        </is>
      </c>
      <c r="B9" t="inlineStr"/>
      <c r="C9" s="10" t="n">
        <v>0.25</v>
      </c>
      <c r="D9" s="10" t="n">
        <v>0.25</v>
      </c>
      <c r="E9" s="10" t="n">
        <v>0.25</v>
      </c>
      <c r="F9" s="10" t="n">
        <v>0.25</v>
      </c>
      <c r="G9" s="10" t="n">
        <v>0.25</v>
      </c>
    </row>
    <row r="10">
      <c r="A10" s="9" t="inlineStr">
        <is>
          <t>Interest rate (debt)</t>
        </is>
      </c>
      <c r="B10" t="inlineStr"/>
      <c r="C10" s="10" t="n">
        <v>0.08</v>
      </c>
      <c r="D10" s="10" t="n">
        <v>0.08</v>
      </c>
      <c r="E10" s="10" t="n">
        <v>0.08</v>
      </c>
      <c r="F10" s="10" t="n">
        <v>0.08</v>
      </c>
      <c r="G10" s="10" t="n">
        <v>0.08</v>
      </c>
    </row>
    <row r="11">
      <c r="A11" s="9" t="inlineStr">
        <is>
          <t>Days sales outstanding</t>
        </is>
      </c>
      <c r="B11" t="inlineStr"/>
      <c r="C11" s="11" t="n">
        <v>45</v>
      </c>
      <c r="D11" s="11" t="n">
        <v>45</v>
      </c>
      <c r="E11" s="11" t="n">
        <v>45</v>
      </c>
      <c r="F11" s="11" t="n">
        <v>45</v>
      </c>
      <c r="G11" s="11" t="n">
        <v>45</v>
      </c>
    </row>
    <row r="12">
      <c r="A12" s="9" t="inlineStr">
        <is>
          <t>Days inventory</t>
        </is>
      </c>
      <c r="B12" t="inlineStr"/>
      <c r="C12" s="11" t="n">
        <v>40</v>
      </c>
      <c r="D12" s="11" t="n">
        <v>40</v>
      </c>
      <c r="E12" s="11" t="n">
        <v>40</v>
      </c>
      <c r="F12" s="11" t="n">
        <v>40</v>
      </c>
      <c r="G12" s="11" t="n">
        <v>40</v>
      </c>
    </row>
    <row r="13">
      <c r="A13" s="9" t="inlineStr">
        <is>
          <t>Days payables</t>
        </is>
      </c>
      <c r="B13" t="inlineStr"/>
      <c r="C13" s="11" t="n">
        <v>30</v>
      </c>
      <c r="D13" s="11" t="n">
        <v>30</v>
      </c>
      <c r="E13" s="11" t="n">
        <v>30</v>
      </c>
      <c r="F13" s="11" t="n">
        <v>30</v>
      </c>
      <c r="G13" s="11" t="n">
        <v>30</v>
      </c>
    </row>
    <row r="14">
      <c r="A14" s="9" t="inlineStr">
        <is>
          <t>Minimum cash % revenue</t>
        </is>
      </c>
      <c r="B14" t="inlineStr"/>
      <c r="C14" s="10" t="n">
        <v>0.05</v>
      </c>
      <c r="D14" s="10" t="n">
        <v>0.05</v>
      </c>
      <c r="E14" s="10" t="n">
        <v>0.05</v>
      </c>
      <c r="F14" s="10" t="n">
        <v>0.05</v>
      </c>
      <c r="G14" s="10" t="n">
        <v>0.05</v>
      </c>
    </row>
    <row r="16">
      <c r="A16" s="3" t="inlineStr">
        <is>
          <t>OPENING BALANCES (Year 0)</t>
        </is>
      </c>
    </row>
    <row r="17">
      <c r="A17" s="9" t="inlineStr">
        <is>
          <t>Opening revenue</t>
        </is>
      </c>
      <c r="B17" s="12" t="n">
        <v>500</v>
      </c>
    </row>
    <row r="18">
      <c r="A18" s="9" t="inlineStr">
        <is>
          <t>Opening cash</t>
        </is>
      </c>
      <c r="B18" s="12" t="n">
        <v>100</v>
      </c>
    </row>
    <row r="19">
      <c r="A19" s="9" t="inlineStr">
        <is>
          <t>Opening AR</t>
        </is>
      </c>
      <c r="B19" s="12" t="n">
        <v>50</v>
      </c>
    </row>
    <row r="20">
      <c r="A20" s="9" t="inlineStr">
        <is>
          <t>Opening inventory</t>
        </is>
      </c>
      <c r="B20" s="12" t="n">
        <v>40</v>
      </c>
    </row>
    <row r="21">
      <c r="A21" s="9" t="inlineStr">
        <is>
          <t>Opening AP</t>
        </is>
      </c>
      <c r="B21" s="12" t="n">
        <v>30</v>
      </c>
    </row>
    <row r="22">
      <c r="A22" s="9" t="inlineStr">
        <is>
          <t>Opening PP&amp;E (net)</t>
        </is>
      </c>
      <c r="B22" s="12" t="n">
        <v>200</v>
      </c>
    </row>
    <row r="23">
      <c r="A23" s="9" t="inlineStr">
        <is>
          <t>Opening debt</t>
        </is>
      </c>
      <c r="B23" s="12" t="n">
        <v>150</v>
      </c>
    </row>
    <row r="24">
      <c r="A24" s="9" t="inlineStr">
        <is>
          <t>Opening equity</t>
        </is>
      </c>
      <c r="B24" s="12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7F4B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INCOME STATEMENT</t>
        </is>
      </c>
    </row>
    <row r="3">
      <c r="A3" s="8" t="inlineStr">
        <is>
          <t>Year 0</t>
        </is>
      </c>
      <c r="B3" s="8" t="inlineStr">
        <is>
          <t>Year 1</t>
        </is>
      </c>
      <c r="C3" s="8" t="inlineStr">
        <is>
          <t>Year 2</t>
        </is>
      </c>
      <c r="D3" s="8" t="inlineStr">
        <is>
          <t>Year 3</t>
        </is>
      </c>
      <c r="E3" s="8" t="inlineStr">
        <is>
          <t>Year 4</t>
        </is>
      </c>
      <c r="F3" s="8" t="inlineStr">
        <is>
          <t>Year 5</t>
        </is>
      </c>
    </row>
    <row r="4">
      <c r="A4" s="9" t="inlineStr">
        <is>
          <t>Revenue</t>
        </is>
      </c>
      <c r="B4" s="13">
        <f>Assumptions!B17*(1+Assumptions!C4)</f>
        <v/>
      </c>
      <c r="C4" s="13">
        <f>C4*(1+Assumptions!D4)</f>
        <v/>
      </c>
      <c r="D4" s="13">
        <f>D4*(1+Assumptions!E4)</f>
        <v/>
      </c>
      <c r="E4" s="13">
        <f>E4*(1+Assumptions!F4)</f>
        <v/>
      </c>
      <c r="F4" s="13">
        <f>F4*(1+Assumptions!G4)</f>
        <v/>
      </c>
    </row>
    <row r="5">
      <c r="A5" s="9" t="inlineStr">
        <is>
          <t xml:space="preserve">  COGS</t>
        </is>
      </c>
      <c r="B5" s="13">
        <f>-C4*Assumptions!C5</f>
        <v/>
      </c>
      <c r="C5" s="13">
        <f>-D4*Assumptions!D5</f>
        <v/>
      </c>
      <c r="D5" s="13">
        <f>-E4*Assumptions!E5</f>
        <v/>
      </c>
      <c r="E5" s="13">
        <f>-F4*Assumptions!F5</f>
        <v/>
      </c>
      <c r="F5" s="13">
        <f>-G4*Assumptions!G5</f>
        <v/>
      </c>
    </row>
    <row r="6">
      <c r="A6" s="14" t="inlineStr">
        <is>
          <t>Gross profit</t>
        </is>
      </c>
      <c r="B6" s="15">
        <f>C4+C5</f>
        <v/>
      </c>
      <c r="C6" s="15">
        <f>D4+D5</f>
        <v/>
      </c>
      <c r="D6" s="15">
        <f>E4+E5</f>
        <v/>
      </c>
      <c r="E6" s="15">
        <f>F4+F5</f>
        <v/>
      </c>
      <c r="F6" s="15">
        <f>G4+G5</f>
        <v/>
      </c>
    </row>
    <row r="7">
      <c r="A7" s="9" t="inlineStr">
        <is>
          <t xml:space="preserve">  Operating expense</t>
        </is>
      </c>
      <c r="B7" s="13">
        <f>-C5*Assumptions!C6</f>
        <v/>
      </c>
      <c r="C7" s="13">
        <f>-D5*Assumptions!D6</f>
        <v/>
      </c>
      <c r="D7" s="13">
        <f>-E5*Assumptions!E6</f>
        <v/>
      </c>
      <c r="E7" s="13">
        <f>-F5*Assumptions!F6</f>
        <v/>
      </c>
      <c r="F7" s="13">
        <f>-G5*Assumptions!G6</f>
        <v/>
      </c>
    </row>
    <row r="8">
      <c r="A8" s="14" t="inlineStr">
        <is>
          <t>EBITDA</t>
        </is>
      </c>
      <c r="B8" s="15">
        <f>C5+C7</f>
        <v/>
      </c>
      <c r="C8" s="15">
        <f>D5+D7</f>
        <v/>
      </c>
      <c r="D8" s="15">
        <f>E5+E7</f>
        <v/>
      </c>
      <c r="E8" s="15">
        <f>F5+F7</f>
        <v/>
      </c>
      <c r="F8" s="15">
        <f>G5+G7</f>
        <v/>
      </c>
    </row>
    <row r="9">
      <c r="A9" s="9" t="inlineStr">
        <is>
          <t xml:space="preserve">  D&amp;A</t>
        </is>
      </c>
      <c r="B9" s="13">
        <f>-C6*Assumptions!C7</f>
        <v/>
      </c>
      <c r="C9" s="13">
        <f>-D6*Assumptions!D7</f>
        <v/>
      </c>
      <c r="D9" s="13">
        <f>-E6*Assumptions!E7</f>
        <v/>
      </c>
      <c r="E9" s="13">
        <f>-F6*Assumptions!F7</f>
        <v/>
      </c>
      <c r="F9" s="13">
        <f>-G6*Assumptions!G7</f>
        <v/>
      </c>
    </row>
    <row r="10">
      <c r="A10" s="14" t="inlineStr">
        <is>
          <t>EBIT</t>
        </is>
      </c>
      <c r="B10" s="15">
        <f>C8+C9</f>
        <v/>
      </c>
      <c r="C10" s="15">
        <f>D8+D9</f>
        <v/>
      </c>
      <c r="D10" s="15">
        <f>E8+E9</f>
        <v/>
      </c>
      <c r="E10" s="15">
        <f>F8+F9</f>
        <v/>
      </c>
      <c r="F10" s="15">
        <f>G8+G9</f>
        <v/>
      </c>
    </row>
    <row r="11">
      <c r="A11" s="9" t="inlineStr">
        <is>
          <t xml:space="preserve">  Interest expense</t>
        </is>
      </c>
      <c r="B11" s="13">
        <f>-'Balance Sheet'!C12*Assumptions!C10</f>
        <v/>
      </c>
      <c r="C11" s="13">
        <f>-'Balance Sheet'!C12*Assumptions!C10</f>
        <v/>
      </c>
      <c r="D11" s="13">
        <f>-'Balance Sheet'!D12*Assumptions!D10</f>
        <v/>
      </c>
      <c r="E11" s="13">
        <f>-'Balance Sheet'!E12*Assumptions!E10</f>
        <v/>
      </c>
      <c r="F11" s="13">
        <f>-'Balance Sheet'!F12*Assumptions!F10</f>
        <v/>
      </c>
      <c r="G11" s="13">
        <f>-'Balance Sheet'!G12*Assumptions!G10</f>
        <v/>
      </c>
    </row>
    <row r="12">
      <c r="A12" s="14" t="inlineStr">
        <is>
          <t>Pre-tax income (EBT)</t>
        </is>
      </c>
      <c r="B12" s="15">
        <f>C10+C11</f>
        <v/>
      </c>
      <c r="C12" s="15">
        <f>D10+D11</f>
        <v/>
      </c>
      <c r="D12" s="15">
        <f>E10+E11</f>
        <v/>
      </c>
      <c r="E12" s="15">
        <f>F10+F11</f>
        <v/>
      </c>
      <c r="F12" s="15">
        <f>G10+G11</f>
        <v/>
      </c>
    </row>
    <row r="13">
      <c r="A13" s="9" t="inlineStr">
        <is>
          <t xml:space="preserve">  Taxes</t>
        </is>
      </c>
      <c r="B13" s="13">
        <f>-MAX(C12,0)*Assumptions!C9</f>
        <v/>
      </c>
      <c r="C13" s="13">
        <f>-MAX(D12,0)*Assumptions!D9</f>
        <v/>
      </c>
      <c r="D13" s="13">
        <f>-MAX(E12,0)*Assumptions!E9</f>
        <v/>
      </c>
      <c r="E13" s="13">
        <f>-MAX(F12,0)*Assumptions!F9</f>
        <v/>
      </c>
      <c r="F13" s="13">
        <f>-MAX(G12,0)*Assumptions!G9</f>
        <v/>
      </c>
    </row>
    <row r="14">
      <c r="A14" s="14" t="inlineStr">
        <is>
          <t>Net income</t>
        </is>
      </c>
      <c r="B14" s="15">
        <f>C12+C13</f>
        <v/>
      </c>
      <c r="C14" s="15">
        <f>D12+D13</f>
        <v/>
      </c>
      <c r="D14" s="15">
        <f>E12+E13</f>
        <v/>
      </c>
      <c r="E14" s="15">
        <f>F12+F13</f>
        <v/>
      </c>
      <c r="F14" s="15">
        <f>G12+G13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2A44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BALANCE SHEET</t>
        </is>
      </c>
    </row>
    <row r="3">
      <c r="A3" s="8" t="inlineStr">
        <is>
          <t>Year 0</t>
        </is>
      </c>
      <c r="B3" s="8" t="inlineStr">
        <is>
          <t>Year 1</t>
        </is>
      </c>
      <c r="C3" s="8" t="inlineStr">
        <is>
          <t>Year 2</t>
        </is>
      </c>
      <c r="D3" s="8" t="inlineStr">
        <is>
          <t>Year 3</t>
        </is>
      </c>
      <c r="E3" s="8" t="inlineStr">
        <is>
          <t>Year 4</t>
        </is>
      </c>
      <c r="F3" s="8" t="inlineStr">
        <is>
          <t>Year 5</t>
        </is>
      </c>
    </row>
    <row r="4">
      <c r="A4" s="14" t="inlineStr">
        <is>
          <t>Accounts receivable</t>
        </is>
      </c>
      <c r="B4" s="13">
        <f>'Income Statement'!G4*Assumptions!G11/365</f>
        <v/>
      </c>
    </row>
    <row r="5">
      <c r="A5" s="9" t="inlineStr">
        <is>
          <t>Inventory</t>
        </is>
      </c>
      <c r="B5" s="13">
        <f>ABS('Income Statement'!G5)*Assumptions!G12/365</f>
        <v/>
      </c>
    </row>
    <row r="7">
      <c r="A7" s="14" t="inlineStr">
        <is>
          <t>PP&amp;E (net)</t>
        </is>
      </c>
      <c r="B7" s="15">
        <f>Assumptions!B22+'Income Statement'!C4*Assumptions!C8-'Income Statement'!C4*Assumptions!C7</f>
        <v/>
      </c>
      <c r="C7" s="15">
        <f>C7+'Income Statement'!D4*Assumptions!D8-'Income Statement'!D4*Assumptions!D7</f>
        <v/>
      </c>
      <c r="D7" s="15">
        <f>D7+'Income Statement'!E4*Assumptions!E8-'Income Statement'!E4*Assumptions!E7</f>
        <v/>
      </c>
      <c r="E7" s="15">
        <f>E7+'Income Statement'!F4*Assumptions!F8-'Income Statement'!F4*Assumptions!F7</f>
        <v/>
      </c>
      <c r="F7" s="15">
        <f>F7+'Income Statement'!G4*Assumptions!G8-'Income Statement'!G4*Assumptions!G7</f>
        <v/>
      </c>
    </row>
    <row r="8">
      <c r="A8" s="14" t="inlineStr">
        <is>
          <t>Subtotal (pre-cash)</t>
        </is>
      </c>
      <c r="B8" s="15">
        <f>SUM(C4:C7)</f>
        <v/>
      </c>
      <c r="C8" s="15">
        <f>SUM(D4:D7)</f>
        <v/>
      </c>
      <c r="D8" s="15">
        <f>SUM(E4:E7)</f>
        <v/>
      </c>
      <c r="E8" s="15">
        <f>SUM(F4:F7)</f>
        <v/>
      </c>
      <c r="F8" s="15">
        <f>SUM(G4:G7)</f>
        <v/>
      </c>
    </row>
    <row r="9">
      <c r="A9" s="9" t="inlineStr">
        <is>
          <t>Cash</t>
        </is>
      </c>
      <c r="C9" s="13">
        <f>Assumptions!B18+'Income Statement'!C14+'Income Statement'!C9-C4-Assumptions!B19-C5-Assumptions!B20+C11-Assumptions!B21+-'Income Statement'!C4*Assumptions!C8+MAX('Income Statement'!C4*Assumptions!C14-Assumptions!B18+'Income Statement'!C14+'Income Statement'!C9-C4-Assumptions!B19-C5-Assumptions!B20+C11-Assumptions!B21+-'Income Statement'!C4*Assumptions!C8,0)-MIN(MAX(Assumptions!B18+'Income Statement'!C14+'Income Statement'!C9-C4-Assumptions!B19-C5-Assumptions!B20+C11-Assumptions!B21+-'Income Statement'!C4*Assumptions!C8-'Income Statement'!C4*Assumptions!C14,0),B15)</f>
        <v/>
      </c>
      <c r="D9" s="13">
        <f>C9+'Income Statement'!D14+'Income Statement'!D9-D4-C4-D5-C5+D11-C11+-'Income Statement'!D4*Assumptions!D8+MAX('Income Statement'!D4*Assumptions!D14-C9+'Income Statement'!D14+'Income Statement'!D9-D4-C4-D5-C5+D11-C11+-'Income Statement'!D4*Assumptions!D8,0)-MIN(MAX(C9+'Income Statement'!D14+'Income Statement'!D9-D4-C4-D5-C5+D11-C11+-'Income Statement'!D4*Assumptions!D8-'Income Statement'!D4*Assumptions!D14,0),C15)</f>
        <v/>
      </c>
      <c r="E9" s="13">
        <f>D9+'Income Statement'!E14+'Income Statement'!E9-E4-D4-E5-D5+E11-D11+-'Income Statement'!E4*Assumptions!E8+MAX('Income Statement'!E4*Assumptions!E14-D9+'Income Statement'!E14+'Income Statement'!E9-E4-D4-E5-D5+E11-D11+-'Income Statement'!E4*Assumptions!E8,0)-MIN(MAX(D9+'Income Statement'!E14+'Income Statement'!E9-E4-D4-E5-D5+E11-D11+-'Income Statement'!E4*Assumptions!E8-'Income Statement'!E4*Assumptions!E14,0),D15)</f>
        <v/>
      </c>
      <c r="F9" s="13">
        <f>E9+'Income Statement'!F14+'Income Statement'!F9-F4-E4-F5-E5+F11-E11+-'Income Statement'!F4*Assumptions!F8+MAX('Income Statement'!F4*Assumptions!F14-E9+'Income Statement'!F14+'Income Statement'!F9-F4-E4-F5-E5+F11-E11+-'Income Statement'!F4*Assumptions!F8,0)-MIN(MAX(E9+'Income Statement'!F14+'Income Statement'!F9-F4-E4-F5-E5+F11-E11+-'Income Statement'!F4*Assumptions!F8-'Income Statement'!F4*Assumptions!F14,0),E15)</f>
        <v/>
      </c>
      <c r="G9" s="13">
        <f>F9+'Income Statement'!G14+'Income Statement'!G9-G4-F4-G5-F5+G11-F11+-'Income Statement'!G4*Assumptions!G8+MAX('Income Statement'!G4*Assumptions!G14-F9+'Income Statement'!G14+'Income Statement'!G9-G4-F4-G5-F5+G11-F11+-'Income Statement'!G4*Assumptions!G8,0)-MIN(MAX(F9+'Income Statement'!G14+'Income Statement'!G9-G4-F4-G5-F5+G11-F11+-'Income Statement'!G4*Assumptions!G8-'Income Statement'!G4*Assumptions!G14,0),F15)</f>
        <v/>
      </c>
    </row>
    <row r="10">
      <c r="A10" s="14" t="n"/>
      <c r="C10" s="16">
        <f>C9+C8</f>
        <v/>
      </c>
      <c r="D10" s="16">
        <f>D9+D8</f>
        <v/>
      </c>
      <c r="E10" s="16">
        <f>E9+E8</f>
        <v/>
      </c>
      <c r="F10" s="16">
        <f>F9+F8</f>
        <v/>
      </c>
      <c r="G10" s="16">
        <f>G9+G8</f>
        <v/>
      </c>
    </row>
    <row r="11">
      <c r="A11" s="9" t="inlineStr">
        <is>
          <t>Accounts payable</t>
        </is>
      </c>
      <c r="C11" s="13">
        <f>-'Income Statement'!C5*Assumptions!C13/365</f>
        <v/>
      </c>
      <c r="D11" s="13">
        <f>-'Income Statement'!D5*Assumptions!D13/365</f>
        <v/>
      </c>
      <c r="E11" s="13">
        <f>-'Income Statement'!E5*Assumptions!E13/365</f>
        <v/>
      </c>
      <c r="F11" s="13">
        <f>-'Income Statement'!F5*Assumptions!F13/365</f>
        <v/>
      </c>
      <c r="G11" s="13">
        <f>-'Income Statement'!G5*Assumptions!G13/365</f>
        <v/>
      </c>
    </row>
    <row r="12">
      <c r="A12" s="9" t="n"/>
      <c r="C12" s="13">
        <f>Assumptions!B23</f>
        <v/>
      </c>
      <c r="D12" s="13">
        <f>C15</f>
        <v/>
      </c>
      <c r="E12" s="13">
        <f>D15</f>
        <v/>
      </c>
      <c r="F12" s="13">
        <f>E15</f>
        <v/>
      </c>
      <c r="G12" s="13">
        <f>F15</f>
        <v/>
      </c>
    </row>
    <row r="13">
      <c r="A13" s="9" t="n"/>
      <c r="C13" s="13">
        <f>MAX('Income Statement'!C4*Assumptions!C14-Assumptions!B18+'Income Statement'!C14+'Income Statement'!C9-C4-Assumptions!B19-C5-Assumptions!B20+C11-Assumptions!B21+-'Income Statement'!C4*Assumptions!C8,0)</f>
        <v/>
      </c>
      <c r="D13" s="13">
        <f>MAX('Income Statement'!D4*Assumptions!D14-C9+'Income Statement'!D14+'Income Statement'!D9-D4-C4-D5-C5+D11-C11+-'Income Statement'!D4*Assumptions!D8,0)</f>
        <v/>
      </c>
      <c r="E13" s="13">
        <f>MAX('Income Statement'!E4*Assumptions!E14-D9+'Income Statement'!E14+'Income Statement'!E9-E4-D4-E5-D5+E11-D11+-'Income Statement'!E4*Assumptions!E8,0)</f>
        <v/>
      </c>
      <c r="F13" s="13">
        <f>MAX('Income Statement'!F4*Assumptions!F14-E9+'Income Statement'!F14+'Income Statement'!F9-F4-E4-F5-E5+F11-E11+-'Income Statement'!F4*Assumptions!F8,0)</f>
        <v/>
      </c>
      <c r="G13" s="13">
        <f>MAX('Income Statement'!G4*Assumptions!G14-F9+'Income Statement'!G14+'Income Statement'!G9-G4-F4-G5-F5+G11-F11+-'Income Statement'!G4*Assumptions!G8,0)</f>
        <v/>
      </c>
    </row>
    <row r="14">
      <c r="A14" s="9" t="n"/>
      <c r="C14" s="13">
        <f>MIN(MAX(Assumptions!B18+'Income Statement'!C14+'Income Statement'!C9-C4-Assumptions!B19-C5-Assumptions!B20+C11-Assumptions!B21+-'Income Statement'!C4*Assumptions!C8-'Income Statement'!C4*Assumptions!C14,0),B15)</f>
        <v/>
      </c>
      <c r="D14" s="13">
        <f>MIN(MAX(C9+'Income Statement'!D14+'Income Statement'!D9-D4-C4-D5-C5+D11-C11+-'Income Statement'!D4*Assumptions!D8-'Income Statement'!D4*Assumptions!D14,0),C15)</f>
        <v/>
      </c>
      <c r="E14" s="13">
        <f>MIN(MAX(D9+'Income Statement'!E14+'Income Statement'!E9-E4-D4-E5-D5+E11-D11+-'Income Statement'!E4*Assumptions!E8-'Income Statement'!E4*Assumptions!E14,0),D15)</f>
        <v/>
      </c>
      <c r="F14" s="13">
        <f>MIN(MAX(E9+'Income Statement'!F14+'Income Statement'!F9-F4-E4-F5-E5+F11-E11+-'Income Statement'!F4*Assumptions!F8-'Income Statement'!F4*Assumptions!F14,0),E15)</f>
        <v/>
      </c>
      <c r="G14" s="13">
        <f>MIN(MAX(F9+'Income Statement'!G14+'Income Statement'!G9-G4-F4-G5-F5+G11-F11+-'Income Statement'!G4*Assumptions!G8-'Income Statement'!G4*Assumptions!G14,0),F15)</f>
        <v/>
      </c>
    </row>
    <row r="15">
      <c r="A15" s="9" t="n"/>
      <c r="C15" s="16">
        <f>C12+C13-C14</f>
        <v/>
      </c>
      <c r="D15" s="16">
        <f>D12+D13-D14</f>
        <v/>
      </c>
      <c r="E15" s="16">
        <f>E12+E13-E14</f>
        <v/>
      </c>
      <c r="F15" s="16">
        <f>F12+F13-F14</f>
        <v/>
      </c>
      <c r="G15" s="16">
        <f>G12+G13-G14</f>
        <v/>
      </c>
    </row>
    <row r="16">
      <c r="A16" s="9" t="inlineStr">
        <is>
          <t>Equity (retained)</t>
        </is>
      </c>
      <c r="C16" s="13">
        <f>Assumptions!B24+'Income Statement'!C14</f>
        <v/>
      </c>
      <c r="D16" s="13">
        <f>C16+'Income Statement'!D14</f>
        <v/>
      </c>
      <c r="E16" s="13">
        <f>D16+'Income Statement'!E14</f>
        <v/>
      </c>
      <c r="F16" s="13">
        <f>E16+'Income Statement'!F14</f>
        <v/>
      </c>
      <c r="G16" s="13">
        <f>F16+'Income Statement'!G14</f>
        <v/>
      </c>
    </row>
    <row r="17">
      <c r="A17" s="14" t="n"/>
      <c r="C17" s="16">
        <f>C11+C15+C16</f>
        <v/>
      </c>
      <c r="D17" s="16">
        <f>D11+D15+D16</f>
        <v/>
      </c>
      <c r="E17" s="16">
        <f>E11+E15+E16</f>
        <v/>
      </c>
      <c r="F17" s="16">
        <f>F11+F15+F16</f>
        <v/>
      </c>
      <c r="G17" s="16">
        <f>G11+G15+G16</f>
        <v/>
      </c>
    </row>
    <row r="18">
      <c r="A18" s="17" t="inlineStr">
        <is>
          <t>Balance check (must = 0)</t>
        </is>
      </c>
      <c r="C18" s="18">
        <f>C10-C17</f>
        <v/>
      </c>
      <c r="D18" s="18">
        <f>D10-D17</f>
        <v/>
      </c>
      <c r="E18" s="18">
        <f>E10-E17</f>
        <v/>
      </c>
      <c r="F18" s="18">
        <f>F10-F17</f>
        <v/>
      </c>
      <c r="G18" s="18">
        <f>G10-G17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8860B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CASH FLOW STATEMENT</t>
        </is>
      </c>
    </row>
    <row r="3">
      <c r="A3" s="8" t="inlineStr">
        <is>
          <t>Year 0</t>
        </is>
      </c>
      <c r="B3" s="8" t="inlineStr">
        <is>
          <t>Year 1</t>
        </is>
      </c>
      <c r="C3" s="8" t="inlineStr">
        <is>
          <t>Year 2</t>
        </is>
      </c>
      <c r="D3" s="8" t="inlineStr">
        <is>
          <t>Year 3</t>
        </is>
      </c>
      <c r="E3" s="8" t="inlineStr">
        <is>
          <t>Year 4</t>
        </is>
      </c>
      <c r="F3" s="8" t="inlineStr">
        <is>
          <t>Year 5</t>
        </is>
      </c>
    </row>
    <row r="4">
      <c r="A4" s="9" t="inlineStr">
        <is>
          <t>Net income</t>
        </is>
      </c>
      <c r="B4" s="13">
        <f>'Income Statement'!C14</f>
        <v/>
      </c>
      <c r="C4" s="13">
        <f>'Income Statement'!D14</f>
        <v/>
      </c>
      <c r="D4" s="13">
        <f>'Income Statement'!E14</f>
        <v/>
      </c>
      <c r="E4" s="13">
        <f>'Income Statement'!F14</f>
        <v/>
      </c>
      <c r="F4" s="13">
        <f>'Income Statement'!G14</f>
        <v/>
      </c>
    </row>
    <row r="5">
      <c r="A5" s="9" t="inlineStr">
        <is>
          <t xml:space="preserve">  D&amp;A</t>
        </is>
      </c>
      <c r="B5" s="13">
        <f>'Income Statement'!C9</f>
        <v/>
      </c>
      <c r="C5" s="13">
        <f>'Income Statement'!D9</f>
        <v/>
      </c>
      <c r="D5" s="13">
        <f>'Income Statement'!E9</f>
        <v/>
      </c>
      <c r="E5" s="13">
        <f>'Income Statement'!F9</f>
        <v/>
      </c>
      <c r="F5" s="13">
        <f>'Income Statement'!G9</f>
        <v/>
      </c>
    </row>
    <row r="6">
      <c r="A6" s="9" t="inlineStr">
        <is>
          <t xml:space="preserve">  Δ Accounts receivable</t>
        </is>
      </c>
      <c r="B6" s="13">
        <f>-('Balance Sheet'!C4-'Balance Sheet'!B4)</f>
        <v/>
      </c>
      <c r="C6" s="13">
        <f>-('Balance Sheet'!D4-'Balance Sheet'!C4)</f>
        <v/>
      </c>
      <c r="D6" s="13">
        <f>-('Balance Sheet'!E4-'Balance Sheet'!D4)</f>
        <v/>
      </c>
      <c r="E6" s="13">
        <f>-('Balance Sheet'!F4-'Balance Sheet'!E4)</f>
        <v/>
      </c>
      <c r="F6" s="13">
        <f>-('Balance Sheet'!G4-'Balance Sheet'!F4)</f>
        <v/>
      </c>
    </row>
    <row r="7">
      <c r="A7" s="9" t="inlineStr">
        <is>
          <t xml:space="preserve">  Δ Inventory</t>
        </is>
      </c>
      <c r="B7" s="13">
        <f>-('Balance Sheet'!C5-'Balance Sheet'!B5)</f>
        <v/>
      </c>
      <c r="C7" s="13">
        <f>-('Balance Sheet'!D5-'Balance Sheet'!C5)</f>
        <v/>
      </c>
      <c r="D7" s="13">
        <f>-('Balance Sheet'!E5-'Balance Sheet'!D5)</f>
        <v/>
      </c>
      <c r="E7" s="13">
        <f>-('Balance Sheet'!F5-'Balance Sheet'!E5)</f>
        <v/>
      </c>
      <c r="F7" s="13">
        <f>-('Balance Sheet'!G5-'Balance Sheet'!F5)</f>
        <v/>
      </c>
    </row>
    <row r="8">
      <c r="A8" s="9" t="inlineStr">
        <is>
          <t xml:space="preserve">  Δ Accounts payable</t>
        </is>
      </c>
      <c r="B8" s="13">
        <f>'Balance Sheet'!C11-'Balance Sheet'!B11</f>
        <v/>
      </c>
      <c r="C8" s="13">
        <f>'Balance Sheet'!D11-'Balance Sheet'!C11</f>
        <v/>
      </c>
      <c r="D8" s="13">
        <f>'Balance Sheet'!E11-'Balance Sheet'!D11</f>
        <v/>
      </c>
      <c r="E8" s="13">
        <f>'Balance Sheet'!F11-'Balance Sheet'!E11</f>
        <v/>
      </c>
      <c r="F8" s="13">
        <f>'Balance Sheet'!G11-'Balance Sheet'!F11</f>
        <v/>
      </c>
    </row>
    <row r="9">
      <c r="A9" s="14" t="inlineStr">
        <is>
          <t>Cash from operations</t>
        </is>
      </c>
      <c r="B9" s="15">
        <f>SUM(C4:C8)</f>
        <v/>
      </c>
      <c r="C9" s="15">
        <f>SUM(D4:D8)</f>
        <v/>
      </c>
      <c r="D9" s="15">
        <f>SUM(E4:E8)</f>
        <v/>
      </c>
      <c r="E9" s="15">
        <f>SUM(F4:F8)</f>
        <v/>
      </c>
      <c r="F9" s="15">
        <f>SUM(G4:G8)</f>
        <v/>
      </c>
    </row>
    <row r="10">
      <c r="A10" s="9" t="inlineStr">
        <is>
          <t xml:space="preserve">  Capex</t>
        </is>
      </c>
      <c r="B10" s="13">
        <f>-'Income Statement'!C4*Assumptions!C8</f>
        <v/>
      </c>
      <c r="C10" s="13">
        <f>-'Income Statement'!D4*Assumptions!D8</f>
        <v/>
      </c>
      <c r="D10" s="13">
        <f>-'Income Statement'!E4*Assumptions!E8</f>
        <v/>
      </c>
      <c r="E10" s="13">
        <f>-'Income Statement'!F4*Assumptions!F8</f>
        <v/>
      </c>
      <c r="F10" s="13">
        <f>-'Income Statement'!G4*Assumptions!G8</f>
        <v/>
      </c>
    </row>
    <row r="11">
      <c r="A11" s="14" t="inlineStr">
        <is>
          <t>Cash from investing</t>
        </is>
      </c>
      <c r="B11" s="15">
        <f>C10</f>
        <v/>
      </c>
      <c r="C11" s="15">
        <f>D10</f>
        <v/>
      </c>
      <c r="D11" s="15">
        <f>E10</f>
        <v/>
      </c>
      <c r="E11" s="15">
        <f>F10</f>
        <v/>
      </c>
      <c r="F11" s="15">
        <f>G10</f>
        <v/>
      </c>
    </row>
    <row r="12">
      <c r="A12" s="9" t="inlineStr">
        <is>
          <t xml:space="preserve">  Debt draw</t>
        </is>
      </c>
      <c r="B12" s="13">
        <f>'Balance Sheet'!C13</f>
        <v/>
      </c>
      <c r="C12" s="13">
        <f>'Balance Sheet'!D13</f>
        <v/>
      </c>
      <c r="D12" s="13">
        <f>'Balance Sheet'!E13</f>
        <v/>
      </c>
      <c r="E12" s="13">
        <f>'Balance Sheet'!F13</f>
        <v/>
      </c>
      <c r="F12" s="13">
        <f>'Balance Sheet'!G13</f>
        <v/>
      </c>
    </row>
    <row r="13">
      <c r="A13" s="9" t="inlineStr">
        <is>
          <t xml:space="preserve">  Debt repay</t>
        </is>
      </c>
      <c r="B13" s="13">
        <f>-'Balance Sheet'!C14</f>
        <v/>
      </c>
      <c r="C13" s="13">
        <f>-'Balance Sheet'!D14</f>
        <v/>
      </c>
      <c r="D13" s="13">
        <f>-'Balance Sheet'!E14</f>
        <v/>
      </c>
      <c r="E13" s="13">
        <f>-'Balance Sheet'!F14</f>
        <v/>
      </c>
      <c r="F13" s="13">
        <f>-'Balance Sheet'!G14</f>
        <v/>
      </c>
    </row>
    <row r="14">
      <c r="A14" s="14" t="inlineStr">
        <is>
          <t>Cash from financing</t>
        </is>
      </c>
      <c r="B14" s="15">
        <f>SUM(C12:C13)</f>
        <v/>
      </c>
      <c r="C14" s="15">
        <f>SUM(D12:D13)</f>
        <v/>
      </c>
      <c r="D14" s="15">
        <f>SUM(E12:E13)</f>
        <v/>
      </c>
      <c r="E14" s="15">
        <f>SUM(F12:F13)</f>
        <v/>
      </c>
      <c r="F14" s="15">
        <f>SUM(G12:G13)</f>
        <v/>
      </c>
    </row>
    <row r="15">
      <c r="A15" s="14" t="inlineStr">
        <is>
          <t>Net change in cash</t>
        </is>
      </c>
      <c r="B15" s="15">
        <f>C10+C12+C14</f>
        <v/>
      </c>
      <c r="C15" s="15">
        <f>D10+D12+D14</f>
        <v/>
      </c>
      <c r="D15" s="15">
        <f>E10+E12+E14</f>
        <v/>
      </c>
      <c r="E15" s="15">
        <f>F10+F12+F14</f>
        <v/>
      </c>
      <c r="F15" s="15">
        <f>G10+G12+G14</f>
        <v/>
      </c>
    </row>
    <row r="16">
      <c r="A16" s="9" t="inlineStr">
        <is>
          <t>Beginning cash</t>
        </is>
      </c>
      <c r="B16" s="13">
        <f>Assumptions!B18</f>
        <v/>
      </c>
      <c r="C16" s="13">
        <f>'Balance Sheet'!C9</f>
        <v/>
      </c>
      <c r="D16" s="13">
        <f>'Balance Sheet'!D9</f>
        <v/>
      </c>
      <c r="E16" s="13">
        <f>'Balance Sheet'!E9</f>
        <v/>
      </c>
      <c r="F16" s="13">
        <f>'Balance Sheet'!F9</f>
        <v/>
      </c>
    </row>
    <row r="17">
      <c r="A17" s="14" t="inlineStr">
        <is>
          <t>Ending cash</t>
        </is>
      </c>
      <c r="B17" s="15">
        <f>C15+C16</f>
        <v/>
      </c>
      <c r="C17" s="15">
        <f>D15+D16</f>
        <v/>
      </c>
      <c r="D17" s="15">
        <f>E15+E16</f>
        <v/>
      </c>
      <c r="E17" s="15">
        <f>F15+F16</f>
        <v/>
      </c>
      <c r="F17" s="15">
        <f>G15+G16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2F4F7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THE MODEL ROOM — 3-Statement Model</t>
        </is>
      </c>
    </row>
    <row r="2">
      <c r="A2" s="19" t="inlineStr"/>
    </row>
    <row r="3">
      <c r="A3" s="19" t="inlineStr">
        <is>
          <t>What you have: a fully-linked, minimum-cash 3-statement model.</t>
        </is>
      </c>
    </row>
    <row r="4">
      <c r="A4" s="19" t="inlineStr">
        <is>
          <t>Every cell is a LIVE formula. Change amber assumptions and the model recalculates.</t>
        </is>
      </c>
    </row>
    <row r="5">
      <c r="A5" s="19" t="inlineStr"/>
    </row>
    <row r="6">
      <c r="A6" s="19" t="inlineStr">
        <is>
          <t>Tabs:</t>
        </is>
      </c>
    </row>
    <row r="7">
      <c r="A7" s="19" t="inlineStr">
        <is>
          <t xml:space="preserve">  • Config      — pick your role; the model re-scales to fit how YOU use it.</t>
        </is>
      </c>
    </row>
    <row r="8">
      <c r="A8" s="19" t="inlineStr">
        <is>
          <t xml:space="preserve">  • Assumptions — the only inputs you normally touch (amber cells).</t>
        </is>
      </c>
    </row>
    <row r="9">
      <c r="A9" s="19" t="inlineStr">
        <is>
          <t xml:space="preserve">  • Income Statement / Balance Sheet / Cash Flow — all linked.</t>
        </is>
      </c>
    </row>
    <row r="10">
      <c r="A10" s="19" t="inlineStr">
        <is>
          <t xml:space="preserve">  • Balance check (BS last row) MUST equal 0. It does, by construction.</t>
        </is>
      </c>
    </row>
    <row r="11">
      <c r="A11" s="19" t="inlineStr"/>
    </row>
    <row r="12">
      <c r="A12" s="19" t="inlineStr">
        <is>
          <t>The differentiator: most free templates don't balance and break under scrutiny.</t>
        </is>
      </c>
    </row>
    <row r="13">
      <c r="A13" s="19" t="inlineStr">
        <is>
          <t>This one does — and it's built to the conventions bulge-bracket banks use,</t>
        </is>
      </c>
    </row>
    <row r="14">
      <c r="A14" s="19" t="inlineStr">
        <is>
          <t>so you can defend every number in an interview or in front of a partner.</t>
        </is>
      </c>
    </row>
    <row r="15">
      <c r="A15" s="19" t="inlineStr"/>
    </row>
    <row r="16">
      <c r="A16" s="19" t="inlineStr">
        <is>
          <t>How to present it: open Config, set your role, then walk a reviewer through</t>
        </is>
      </c>
    </row>
    <row r="17">
      <c r="A17" s="19" t="inlineStr">
        <is>
          <t>Revenue -&gt; EBITDA -&gt; EBIT -&gt; EBT -&gt; NI, then how cash is the residual and</t>
        </is>
      </c>
    </row>
    <row r="18">
      <c r="A18" s="19" t="inlineStr">
        <is>
          <t>debt is the plug. That narrative is what gets you the offer / the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2026-07-20T05:44:45Z</dcterms:created>
  <dcterms:modified xmlns:dcterms="http://purl.org/dc/terms/" xmlns:xsi="http://www.w3.org/2001/XMLSchema-instance" xsi:type="dcterms:W3CDTF">2026-07-20T05:44:45Z</dcterms:modified>
</cp:coreProperties>
</file>